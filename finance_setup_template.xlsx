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vanasso\"/>
    </mc:Choice>
  </mc:AlternateContent>
  <xr:revisionPtr revIDLastSave="0" documentId="13_ncr:1_{7E182C33-7314-4ADF-9FA2-17A8054FBD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계정과목_마스터" sheetId="1" r:id="rId1"/>
    <sheet name="2.회원사_목록" sheetId="2" r:id="rId2"/>
    <sheet name="3.고정자산_대장" sheetId="3" r:id="rId3"/>
    <sheet name="4.2025_예산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4" l="1"/>
</calcChain>
</file>

<file path=xl/sharedStrings.xml><?xml version="1.0" encoding="utf-8"?>
<sst xmlns="http://schemas.openxmlformats.org/spreadsheetml/2006/main" count="465" uniqueCount="157">
  <si>
    <t>구분(대분류)</t>
  </si>
  <si>
    <t>성격</t>
  </si>
  <si>
    <t>결산서위치</t>
  </si>
  <si>
    <t>비고</t>
  </si>
  <si>
    <t>유동자산</t>
  </si>
  <si>
    <t>현금</t>
  </si>
  <si>
    <t>ASSET</t>
  </si>
  <si>
    <t>당좌자산</t>
  </si>
  <si>
    <t>보통예금</t>
  </si>
  <si>
    <t>기업은행 등</t>
  </si>
  <si>
    <t>단기대여금</t>
  </si>
  <si>
    <t>비유동자산</t>
  </si>
  <si>
    <t>임차보증금</t>
  </si>
  <si>
    <t>투자자산</t>
  </si>
  <si>
    <t>사무실 보증금</t>
  </si>
  <si>
    <t>비품</t>
  </si>
  <si>
    <t>유형자산</t>
  </si>
  <si>
    <t>노트북, 가구 등</t>
  </si>
  <si>
    <t>소프트웨어</t>
  </si>
  <si>
    <t>무형자산</t>
  </si>
  <si>
    <t>QVAN 개발비 등</t>
  </si>
  <si>
    <t>유동부채</t>
  </si>
  <si>
    <t>예수금</t>
  </si>
  <si>
    <t>LIABILITY</t>
  </si>
  <si>
    <t>4대보험/세금 원천징수분</t>
  </si>
  <si>
    <t>미지급금</t>
  </si>
  <si>
    <t>카드결제 예정액 등</t>
  </si>
  <si>
    <t>비유동부채</t>
  </si>
  <si>
    <t>퇴직급여충당금</t>
  </si>
  <si>
    <t>고정부채</t>
  </si>
  <si>
    <t>협회비수입</t>
  </si>
  <si>
    <t>일반회비</t>
  </si>
  <si>
    <t>INCOME</t>
  </si>
  <si>
    <t>회원사 연회비</t>
  </si>
  <si>
    <t>특별회비</t>
  </si>
  <si>
    <t>기타수입</t>
  </si>
  <si>
    <t>이자수입</t>
  </si>
  <si>
    <t>예금 이자</t>
  </si>
  <si>
    <t>잡이익</t>
  </si>
  <si>
    <t>인건비</t>
  </si>
  <si>
    <t>급여</t>
  </si>
  <si>
    <t>EXPENSE</t>
  </si>
  <si>
    <t>상여금</t>
  </si>
  <si>
    <t>퇴직급여</t>
  </si>
  <si>
    <t>실제 지급액</t>
  </si>
  <si>
    <t>회사 부담분</t>
  </si>
  <si>
    <t>여비교통비</t>
  </si>
  <si>
    <t>출장비, 교통비</t>
  </si>
  <si>
    <t>통신비</t>
  </si>
  <si>
    <t>도서인쇄비</t>
  </si>
  <si>
    <t>워크숍, 세미나</t>
  </si>
  <si>
    <t>영업외비용</t>
  </si>
  <si>
    <t>감가상각비</t>
  </si>
  <si>
    <t>비현금지출</t>
  </si>
  <si>
    <t>결산시 자동계산</t>
  </si>
  <si>
    <t>회원사명</t>
  </si>
  <si>
    <t>사업자번호</t>
  </si>
  <si>
    <t>담당자</t>
  </si>
  <si>
    <t>연락처</t>
  </si>
  <si>
    <t>금융결제원</t>
  </si>
  <si>
    <t>나이스정보통신</t>
  </si>
  <si>
    <t>다우데이타</t>
  </si>
  <si>
    <t>스마트로</t>
  </si>
  <si>
    <t>엔에이치앤케이씨피</t>
  </si>
  <si>
    <t>케이에스넷</t>
  </si>
  <si>
    <t>코밴</t>
  </si>
  <si>
    <t>KIS정보통신</t>
  </si>
  <si>
    <t>한국결제네트웍스</t>
  </si>
  <si>
    <t>한국신용카드결제</t>
  </si>
  <si>
    <t>한국정보통신</t>
  </si>
  <si>
    <t>자산명</t>
  </si>
  <si>
    <t>취득일자</t>
  </si>
  <si>
    <t>취득가액</t>
  </si>
  <si>
    <t>내용연수(년)</t>
  </si>
  <si>
    <t>업무용 노트북(예시)</t>
  </si>
  <si>
    <t>2024-01-01</t>
  </si>
  <si>
    <t>홍길동 사용</t>
  </si>
  <si>
    <t>QVAN 소프트웨어</t>
  </si>
  <si>
    <t>2021-01-01</t>
  </si>
  <si>
    <t>사무실 집기비품</t>
  </si>
  <si>
    <t>책상, 의자 등</t>
  </si>
  <si>
    <t>연간예산액</t>
  </si>
  <si>
    <t>구분(소분류)</t>
    <phoneticPr fontId="3" type="noConversion"/>
  </si>
  <si>
    <t>계정명</t>
    <phoneticPr fontId="3" type="noConversion"/>
  </si>
  <si>
    <t>급여</t>
    <phoneticPr fontId="3" type="noConversion"/>
  </si>
  <si>
    <t>복리후생비</t>
    <phoneticPr fontId="3" type="noConversion"/>
  </si>
  <si>
    <t>퇴직충당금</t>
    <phoneticPr fontId="3" type="noConversion"/>
  </si>
  <si>
    <t>4대보험</t>
    <phoneticPr fontId="3" type="noConversion"/>
  </si>
  <si>
    <t>지급임차료</t>
    <phoneticPr fontId="3" type="noConversion"/>
  </si>
  <si>
    <t>사무실임차료</t>
    <phoneticPr fontId="3" type="noConversion"/>
  </si>
  <si>
    <t>회의운영비</t>
  </si>
  <si>
    <t>회의운영비</t>
    <phoneticPr fontId="3" type="noConversion"/>
  </si>
  <si>
    <t>직원 경조비</t>
    <phoneticPr fontId="3" type="noConversion"/>
  </si>
  <si>
    <t>직원 건강진단비</t>
    <phoneticPr fontId="3" type="noConversion"/>
  </si>
  <si>
    <t>자녀학자금</t>
    <phoneticPr fontId="3" type="noConversion"/>
  </si>
  <si>
    <t>식대</t>
    <phoneticPr fontId="3" type="noConversion"/>
  </si>
  <si>
    <t>기타</t>
    <phoneticPr fontId="3" type="noConversion"/>
  </si>
  <si>
    <t>사업비</t>
    <phoneticPr fontId="4" type="noConversion"/>
  </si>
  <si>
    <t>사업비</t>
    <phoneticPr fontId="3" type="noConversion"/>
  </si>
  <si>
    <t>행사비</t>
    <phoneticPr fontId="4" type="noConversion"/>
  </si>
  <si>
    <t>행사비</t>
    <phoneticPr fontId="3" type="noConversion"/>
  </si>
  <si>
    <t>기타일반관리비</t>
    <phoneticPr fontId="3" type="noConversion"/>
  </si>
  <si>
    <t>법무교육및법률자문비</t>
    <phoneticPr fontId="3" type="noConversion"/>
  </si>
  <si>
    <t>홍보비</t>
    <phoneticPr fontId="3" type="noConversion"/>
  </si>
  <si>
    <t>공통사업비</t>
    <phoneticPr fontId="3" type="noConversion"/>
  </si>
  <si>
    <t>사장단회의비</t>
    <phoneticPr fontId="3" type="noConversion"/>
  </si>
  <si>
    <t>임원단회의비</t>
    <phoneticPr fontId="3" type="noConversion"/>
  </si>
  <si>
    <t>실무자회의비</t>
    <phoneticPr fontId="3" type="noConversion"/>
  </si>
  <si>
    <t>회의예비비</t>
    <phoneticPr fontId="3" type="noConversion"/>
  </si>
  <si>
    <t>사장단워크숍</t>
    <phoneticPr fontId="3" type="noConversion"/>
  </si>
  <si>
    <t>임원단워크숍</t>
    <phoneticPr fontId="3" type="noConversion"/>
  </si>
  <si>
    <t>실무팀장워크숍</t>
    <phoneticPr fontId="3" type="noConversion"/>
  </si>
  <si>
    <t>여비교통비</t>
    <phoneticPr fontId="3" type="noConversion"/>
  </si>
  <si>
    <t>신문구독료, 도서구입비</t>
    <phoneticPr fontId="3" type="noConversion"/>
  </si>
  <si>
    <t>통신비</t>
    <phoneticPr fontId="3" type="noConversion"/>
  </si>
  <si>
    <t>전화요금, 인터넷, 통신비</t>
    <phoneticPr fontId="3" type="noConversion"/>
  </si>
  <si>
    <t>우편요금 등</t>
    <phoneticPr fontId="3" type="noConversion"/>
  </si>
  <si>
    <t>경조비</t>
    <phoneticPr fontId="3" type="noConversion"/>
  </si>
  <si>
    <t xml:space="preserve">전화, 인터넷, </t>
    <phoneticPr fontId="3" type="noConversion"/>
  </si>
  <si>
    <t>우편</t>
    <phoneticPr fontId="3" type="noConversion"/>
  </si>
  <si>
    <t>협회임원 경조사비</t>
    <phoneticPr fontId="3" type="noConversion"/>
  </si>
  <si>
    <t>경조화환</t>
    <phoneticPr fontId="3" type="noConversion"/>
  </si>
  <si>
    <t>기념품 및 감사패</t>
    <phoneticPr fontId="3" type="noConversion"/>
  </si>
  <si>
    <t>생일선물</t>
    <phoneticPr fontId="3" type="noConversion"/>
  </si>
  <si>
    <t>업무추진비</t>
    <phoneticPr fontId="3" type="noConversion"/>
  </si>
  <si>
    <t>협회임원 경조비</t>
    <phoneticPr fontId="3" type="noConversion"/>
  </si>
  <si>
    <t>사무실 월세</t>
    <phoneticPr fontId="3" type="noConversion"/>
  </si>
  <si>
    <t>사장단</t>
    <phoneticPr fontId="3" type="noConversion"/>
  </si>
  <si>
    <t>임원단</t>
    <phoneticPr fontId="3" type="noConversion"/>
  </si>
  <si>
    <t>실무자</t>
    <phoneticPr fontId="3" type="noConversion"/>
  </si>
  <si>
    <t>임시회의 등</t>
    <phoneticPr fontId="3" type="noConversion"/>
  </si>
  <si>
    <t>소모품비</t>
    <phoneticPr fontId="4" type="noConversion"/>
  </si>
  <si>
    <t>주차비</t>
    <phoneticPr fontId="4" type="noConversion"/>
  </si>
  <si>
    <t>수선비</t>
    <phoneticPr fontId="4" type="noConversion"/>
  </si>
  <si>
    <t>잡비</t>
    <phoneticPr fontId="4" type="noConversion"/>
  </si>
  <si>
    <t>예비비</t>
    <phoneticPr fontId="4" type="noConversion"/>
  </si>
  <si>
    <t>주차비</t>
    <phoneticPr fontId="3" type="noConversion"/>
  </si>
  <si>
    <t>사무실기기 유지보수</t>
    <phoneticPr fontId="3" type="noConversion"/>
  </si>
  <si>
    <t>기타잡비</t>
    <phoneticPr fontId="3" type="noConversion"/>
  </si>
  <si>
    <t>예비비(예산외 비용등)</t>
    <phoneticPr fontId="3" type="noConversion"/>
  </si>
  <si>
    <t>인쇄비 및 신문구독/도서비</t>
    <phoneticPr fontId="3" type="noConversion"/>
  </si>
  <si>
    <t>사무용품비</t>
    <phoneticPr fontId="3" type="noConversion"/>
  </si>
  <si>
    <t>OA기기/사무실유지보수</t>
    <phoneticPr fontId="3" type="noConversion"/>
  </si>
  <si>
    <t>예비비</t>
    <phoneticPr fontId="3" type="noConversion"/>
  </si>
  <si>
    <t>구분(대분류)</t>
    <phoneticPr fontId="3" type="noConversion"/>
  </si>
  <si>
    <t>구분(중분류)</t>
    <phoneticPr fontId="3" type="noConversion"/>
  </si>
  <si>
    <t>퇴직급여</t>
    <phoneticPr fontId="3" type="noConversion"/>
  </si>
  <si>
    <t xml:space="preserve">구분(소분류) </t>
    <phoneticPr fontId="3" type="noConversion"/>
  </si>
  <si>
    <t>대분류 - 결산</t>
    <phoneticPr fontId="3" type="noConversion"/>
  </si>
  <si>
    <t>중분류 - 결산</t>
    <phoneticPr fontId="3" type="noConversion"/>
  </si>
  <si>
    <t>소분류 - 회장보고</t>
    <phoneticPr fontId="3" type="noConversion"/>
  </si>
  <si>
    <t>계정명 - 회장보고</t>
    <phoneticPr fontId="3" type="noConversion"/>
  </si>
  <si>
    <t>국민연금</t>
    <phoneticPr fontId="3" type="noConversion"/>
  </si>
  <si>
    <t>건강보험</t>
    <phoneticPr fontId="3" type="noConversion"/>
  </si>
  <si>
    <t>고용보험</t>
    <phoneticPr fontId="3" type="noConversion"/>
  </si>
  <si>
    <t>산재보험</t>
    <phoneticPr fontId="3" type="noConversion"/>
  </si>
  <si>
    <t>계정명2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</si>
</sst>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41" fontId="1" fillId="0" borderId="1" xfId="1" applyFont="1" applyBorder="1" applyAlignment="1">
      <alignment horizontal="center" vertical="top"/>
    </xf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opLeftCell="A34" workbookViewId="0">
      <selection activeCell="C42" sqref="C42"/>
    </sheetView>
  </sheetViews>
  <sheetFormatPr defaultRowHeight="17.399999999999999"/>
  <cols>
    <col min="1" max="1" width="12.59765625" bestFit="1" customWidth="1"/>
    <col min="2" max="2" width="15.09765625" bestFit="1" customWidth="1"/>
    <col min="3" max="3" width="24.8984375" bestFit="1" customWidth="1"/>
    <col min="4" max="4" width="9.09765625" customWidth="1"/>
    <col min="5" max="5" width="11.19921875" bestFit="1" customWidth="1"/>
    <col min="6" max="6" width="24" bestFit="1" customWidth="1"/>
  </cols>
  <sheetData>
    <row r="1" spans="1:6">
      <c r="A1" s="1" t="s">
        <v>0</v>
      </c>
      <c r="B1" s="1" t="s">
        <v>82</v>
      </c>
      <c r="C1" s="1" t="s">
        <v>83</v>
      </c>
      <c r="D1" s="1" t="s">
        <v>1</v>
      </c>
      <c r="E1" s="1" t="s">
        <v>2</v>
      </c>
      <c r="F1" s="1" t="s">
        <v>3</v>
      </c>
    </row>
    <row r="2" spans="1:6">
      <c r="A2" t="s">
        <v>4</v>
      </c>
      <c r="B2" t="s">
        <v>4</v>
      </c>
      <c r="C2" t="s">
        <v>5</v>
      </c>
      <c r="D2" t="s">
        <v>6</v>
      </c>
      <c r="E2" t="s">
        <v>7</v>
      </c>
    </row>
    <row r="3" spans="1:6">
      <c r="A3" t="s">
        <v>4</v>
      </c>
      <c r="B3" t="s">
        <v>4</v>
      </c>
      <c r="C3" t="s">
        <v>8</v>
      </c>
      <c r="D3" t="s">
        <v>6</v>
      </c>
      <c r="E3" t="s">
        <v>7</v>
      </c>
      <c r="F3" t="s">
        <v>9</v>
      </c>
    </row>
    <row r="4" spans="1:6">
      <c r="A4" t="s">
        <v>4</v>
      </c>
      <c r="B4" t="s">
        <v>4</v>
      </c>
      <c r="C4" t="s">
        <v>10</v>
      </c>
      <c r="D4" t="s">
        <v>6</v>
      </c>
      <c r="E4" t="s">
        <v>7</v>
      </c>
    </row>
    <row r="5" spans="1:6">
      <c r="A5" t="s">
        <v>11</v>
      </c>
      <c r="B5" t="s">
        <v>11</v>
      </c>
      <c r="C5" t="s">
        <v>12</v>
      </c>
      <c r="D5" t="s">
        <v>6</v>
      </c>
      <c r="E5" t="s">
        <v>13</v>
      </c>
      <c r="F5" t="s">
        <v>14</v>
      </c>
    </row>
    <row r="6" spans="1:6">
      <c r="A6" t="s">
        <v>11</v>
      </c>
      <c r="B6" t="s">
        <v>11</v>
      </c>
      <c r="C6" t="s">
        <v>15</v>
      </c>
      <c r="D6" t="s">
        <v>6</v>
      </c>
      <c r="E6" t="s">
        <v>16</v>
      </c>
      <c r="F6" t="s">
        <v>17</v>
      </c>
    </row>
    <row r="7" spans="1:6">
      <c r="A7" t="s">
        <v>11</v>
      </c>
      <c r="B7" t="s">
        <v>11</v>
      </c>
      <c r="C7" t="s">
        <v>18</v>
      </c>
      <c r="D7" t="s">
        <v>6</v>
      </c>
      <c r="E7" t="s">
        <v>19</v>
      </c>
      <c r="F7" t="s">
        <v>20</v>
      </c>
    </row>
    <row r="8" spans="1:6">
      <c r="A8" t="s">
        <v>21</v>
      </c>
      <c r="B8" t="s">
        <v>21</v>
      </c>
      <c r="C8" t="s">
        <v>22</v>
      </c>
      <c r="D8" t="s">
        <v>23</v>
      </c>
      <c r="E8" t="s">
        <v>21</v>
      </c>
      <c r="F8" t="s">
        <v>24</v>
      </c>
    </row>
    <row r="9" spans="1:6">
      <c r="A9" t="s">
        <v>21</v>
      </c>
      <c r="B9" t="s">
        <v>21</v>
      </c>
      <c r="C9" t="s">
        <v>25</v>
      </c>
      <c r="D9" t="s">
        <v>23</v>
      </c>
      <c r="E9" t="s">
        <v>21</v>
      </c>
      <c r="F9" t="s">
        <v>26</v>
      </c>
    </row>
    <row r="10" spans="1:6">
      <c r="A10" t="s">
        <v>27</v>
      </c>
      <c r="B10" t="s">
        <v>27</v>
      </c>
      <c r="C10" t="s">
        <v>28</v>
      </c>
      <c r="D10" t="s">
        <v>23</v>
      </c>
      <c r="E10" t="s">
        <v>29</v>
      </c>
    </row>
    <row r="11" spans="1:6">
      <c r="A11" t="s">
        <v>30</v>
      </c>
      <c r="B11" t="s">
        <v>30</v>
      </c>
      <c r="C11" t="s">
        <v>31</v>
      </c>
      <c r="D11" t="s">
        <v>32</v>
      </c>
      <c r="E11" t="s">
        <v>30</v>
      </c>
      <c r="F11" t="s">
        <v>33</v>
      </c>
    </row>
    <row r="12" spans="1:6">
      <c r="A12" t="s">
        <v>30</v>
      </c>
      <c r="B12" t="s">
        <v>30</v>
      </c>
      <c r="C12" t="s">
        <v>34</v>
      </c>
      <c r="D12" t="s">
        <v>32</v>
      </c>
      <c r="E12" t="s">
        <v>30</v>
      </c>
    </row>
    <row r="13" spans="1:6">
      <c r="A13" t="s">
        <v>35</v>
      </c>
      <c r="B13" t="s">
        <v>35</v>
      </c>
      <c r="C13" t="s">
        <v>36</v>
      </c>
      <c r="D13" t="s">
        <v>32</v>
      </c>
      <c r="E13" t="s">
        <v>35</v>
      </c>
      <c r="F13" t="s">
        <v>37</v>
      </c>
    </row>
    <row r="14" spans="1:6">
      <c r="A14" t="s">
        <v>35</v>
      </c>
      <c r="B14" t="s">
        <v>35</v>
      </c>
      <c r="C14" t="s">
        <v>38</v>
      </c>
      <c r="D14" t="s">
        <v>32</v>
      </c>
      <c r="E14" t="s">
        <v>35</v>
      </c>
    </row>
    <row r="15" spans="1:6">
      <c r="A15" t="s">
        <v>39</v>
      </c>
      <c r="B15" t="s">
        <v>40</v>
      </c>
      <c r="C15" t="s">
        <v>84</v>
      </c>
      <c r="D15" t="s">
        <v>41</v>
      </c>
      <c r="E15" t="s">
        <v>39</v>
      </c>
    </row>
    <row r="16" spans="1:6">
      <c r="A16" t="s">
        <v>39</v>
      </c>
      <c r="B16" t="s">
        <v>40</v>
      </c>
      <c r="C16" t="s">
        <v>42</v>
      </c>
      <c r="D16" t="s">
        <v>41</v>
      </c>
      <c r="E16" t="s">
        <v>39</v>
      </c>
    </row>
    <row r="17" spans="1:6">
      <c r="A17" t="s">
        <v>39</v>
      </c>
      <c r="B17" t="s">
        <v>43</v>
      </c>
      <c r="C17" t="s">
        <v>86</v>
      </c>
      <c r="D17" t="s">
        <v>41</v>
      </c>
      <c r="E17" t="s">
        <v>39</v>
      </c>
      <c r="F17" t="s">
        <v>44</v>
      </c>
    </row>
    <row r="18" spans="1:6">
      <c r="A18" t="s">
        <v>39</v>
      </c>
      <c r="B18" t="s">
        <v>85</v>
      </c>
      <c r="C18" t="s">
        <v>87</v>
      </c>
      <c r="D18" t="s">
        <v>41</v>
      </c>
      <c r="E18" t="s">
        <v>39</v>
      </c>
      <c r="F18" t="s">
        <v>45</v>
      </c>
    </row>
    <row r="19" spans="1:6">
      <c r="A19" t="s">
        <v>39</v>
      </c>
      <c r="B19" t="s">
        <v>85</v>
      </c>
      <c r="C19" s="2" t="s">
        <v>92</v>
      </c>
      <c r="D19" t="s">
        <v>41</v>
      </c>
      <c r="E19" t="s">
        <v>39</v>
      </c>
    </row>
    <row r="20" spans="1:6">
      <c r="A20" t="s">
        <v>39</v>
      </c>
      <c r="B20" t="s">
        <v>85</v>
      </c>
      <c r="C20" s="2" t="s">
        <v>93</v>
      </c>
      <c r="D20" t="s">
        <v>41</v>
      </c>
      <c r="E20" t="s">
        <v>39</v>
      </c>
    </row>
    <row r="21" spans="1:6">
      <c r="A21" t="s">
        <v>39</v>
      </c>
      <c r="B21" t="s">
        <v>85</v>
      </c>
      <c r="C21" s="2" t="s">
        <v>94</v>
      </c>
      <c r="D21" t="s">
        <v>41</v>
      </c>
      <c r="E21" t="s">
        <v>39</v>
      </c>
    </row>
    <row r="22" spans="1:6">
      <c r="A22" t="s">
        <v>39</v>
      </c>
      <c r="B22" t="s">
        <v>85</v>
      </c>
      <c r="C22" s="2" t="s">
        <v>95</v>
      </c>
      <c r="D22" t="s">
        <v>41</v>
      </c>
      <c r="E22" t="s">
        <v>39</v>
      </c>
    </row>
    <row r="23" spans="1:6">
      <c r="A23" t="s">
        <v>39</v>
      </c>
      <c r="B23" t="s">
        <v>85</v>
      </c>
      <c r="C23" s="2" t="s">
        <v>96</v>
      </c>
      <c r="D23" t="s">
        <v>41</v>
      </c>
      <c r="E23" t="s">
        <v>39</v>
      </c>
    </row>
    <row r="24" spans="1:6">
      <c r="A24" t="s">
        <v>88</v>
      </c>
      <c r="B24" t="s">
        <v>88</v>
      </c>
      <c r="C24" s="2" t="s">
        <v>89</v>
      </c>
      <c r="D24" t="s">
        <v>41</v>
      </c>
      <c r="E24" t="s">
        <v>126</v>
      </c>
    </row>
    <row r="25" spans="1:6">
      <c r="A25" s="2" t="s">
        <v>97</v>
      </c>
      <c r="B25" s="2" t="s">
        <v>97</v>
      </c>
      <c r="C25" s="2" t="s">
        <v>102</v>
      </c>
      <c r="D25" t="s">
        <v>41</v>
      </c>
      <c r="E25" t="s">
        <v>98</v>
      </c>
    </row>
    <row r="26" spans="1:6">
      <c r="A26" s="2" t="s">
        <v>97</v>
      </c>
      <c r="B26" s="2" t="s">
        <v>97</v>
      </c>
      <c r="C26" s="2" t="s">
        <v>103</v>
      </c>
      <c r="D26" t="s">
        <v>41</v>
      </c>
      <c r="E26" t="s">
        <v>98</v>
      </c>
    </row>
    <row r="27" spans="1:6">
      <c r="A27" s="2" t="s">
        <v>97</v>
      </c>
      <c r="B27" s="2" t="s">
        <v>97</v>
      </c>
      <c r="C27" s="2" t="s">
        <v>104</v>
      </c>
      <c r="D27" t="s">
        <v>41</v>
      </c>
      <c r="E27" t="s">
        <v>98</v>
      </c>
    </row>
    <row r="28" spans="1:6">
      <c r="A28" s="2" t="s">
        <v>90</v>
      </c>
      <c r="B28" s="2" t="s">
        <v>90</v>
      </c>
      <c r="C28" s="2" t="s">
        <v>105</v>
      </c>
      <c r="D28" t="s">
        <v>41</v>
      </c>
      <c r="E28" s="2" t="s">
        <v>91</v>
      </c>
      <c r="F28" s="2" t="s">
        <v>127</v>
      </c>
    </row>
    <row r="29" spans="1:6">
      <c r="A29" s="2" t="s">
        <v>90</v>
      </c>
      <c r="B29" s="2" t="s">
        <v>90</v>
      </c>
      <c r="C29" s="2" t="s">
        <v>106</v>
      </c>
      <c r="D29" t="s">
        <v>41</v>
      </c>
      <c r="E29" s="2" t="s">
        <v>91</v>
      </c>
      <c r="F29" s="2" t="s">
        <v>128</v>
      </c>
    </row>
    <row r="30" spans="1:6">
      <c r="A30" s="2" t="s">
        <v>90</v>
      </c>
      <c r="B30" s="2" t="s">
        <v>90</v>
      </c>
      <c r="C30" s="2" t="s">
        <v>107</v>
      </c>
      <c r="D30" t="s">
        <v>41</v>
      </c>
      <c r="E30" s="2" t="s">
        <v>91</v>
      </c>
      <c r="F30" s="2" t="s">
        <v>129</v>
      </c>
    </row>
    <row r="31" spans="1:6">
      <c r="A31" s="2" t="s">
        <v>90</v>
      </c>
      <c r="B31" s="2" t="s">
        <v>90</v>
      </c>
      <c r="C31" s="2" t="s">
        <v>108</v>
      </c>
      <c r="D31" t="s">
        <v>41</v>
      </c>
      <c r="E31" s="2" t="s">
        <v>91</v>
      </c>
      <c r="F31" s="2" t="s">
        <v>130</v>
      </c>
    </row>
    <row r="32" spans="1:6">
      <c r="A32" s="2" t="s">
        <v>99</v>
      </c>
      <c r="B32" s="2" t="s">
        <v>99</v>
      </c>
      <c r="C32" s="2" t="s">
        <v>109</v>
      </c>
      <c r="D32" t="s">
        <v>41</v>
      </c>
      <c r="E32" s="2" t="s">
        <v>100</v>
      </c>
      <c r="F32" t="s">
        <v>50</v>
      </c>
    </row>
    <row r="33" spans="1:6">
      <c r="A33" s="2" t="s">
        <v>99</v>
      </c>
      <c r="B33" s="2" t="s">
        <v>99</v>
      </c>
      <c r="C33" s="2" t="s">
        <v>110</v>
      </c>
      <c r="D33" t="s">
        <v>41</v>
      </c>
      <c r="E33" s="2" t="s">
        <v>100</v>
      </c>
      <c r="F33" t="s">
        <v>50</v>
      </c>
    </row>
    <row r="34" spans="1:6">
      <c r="A34" s="2" t="s">
        <v>99</v>
      </c>
      <c r="B34" s="2" t="s">
        <v>99</v>
      </c>
      <c r="C34" s="2" t="s">
        <v>111</v>
      </c>
      <c r="D34" t="s">
        <v>41</v>
      </c>
      <c r="E34" s="2" t="s">
        <v>100</v>
      </c>
      <c r="F34" t="s">
        <v>50</v>
      </c>
    </row>
    <row r="35" spans="1:6">
      <c r="A35" s="2" t="s">
        <v>96</v>
      </c>
      <c r="B35" t="s">
        <v>46</v>
      </c>
      <c r="C35" t="s">
        <v>112</v>
      </c>
      <c r="D35" t="s">
        <v>41</v>
      </c>
      <c r="E35" t="s">
        <v>101</v>
      </c>
      <c r="F35" t="s">
        <v>47</v>
      </c>
    </row>
    <row r="36" spans="1:6">
      <c r="A36" s="2" t="s">
        <v>96</v>
      </c>
      <c r="B36" t="s">
        <v>48</v>
      </c>
      <c r="C36" t="s">
        <v>115</v>
      </c>
      <c r="D36" t="s">
        <v>41</v>
      </c>
      <c r="E36" t="s">
        <v>101</v>
      </c>
      <c r="F36" t="s">
        <v>118</v>
      </c>
    </row>
    <row r="37" spans="1:6">
      <c r="A37" s="2" t="s">
        <v>96</v>
      </c>
      <c r="B37" s="2" t="s">
        <v>114</v>
      </c>
      <c r="C37" s="2" t="s">
        <v>116</v>
      </c>
      <c r="D37" t="s">
        <v>41</v>
      </c>
      <c r="E37" t="s">
        <v>101</v>
      </c>
      <c r="F37" s="2" t="s">
        <v>119</v>
      </c>
    </row>
    <row r="38" spans="1:6">
      <c r="A38" s="2" t="s">
        <v>96</v>
      </c>
      <c r="B38" t="s">
        <v>117</v>
      </c>
      <c r="C38" s="2" t="s">
        <v>125</v>
      </c>
      <c r="D38" t="s">
        <v>41</v>
      </c>
      <c r="E38" t="s">
        <v>101</v>
      </c>
      <c r="F38" t="s">
        <v>120</v>
      </c>
    </row>
    <row r="39" spans="1:6">
      <c r="A39" s="2" t="s">
        <v>96</v>
      </c>
      <c r="B39" t="s">
        <v>117</v>
      </c>
      <c r="C39" s="2" t="s">
        <v>121</v>
      </c>
      <c r="D39" t="s">
        <v>41</v>
      </c>
      <c r="E39" t="s">
        <v>101</v>
      </c>
      <c r="F39" t="s">
        <v>121</v>
      </c>
    </row>
    <row r="40" spans="1:6">
      <c r="A40" s="2" t="s">
        <v>96</v>
      </c>
      <c r="B40" t="s">
        <v>117</v>
      </c>
      <c r="C40" s="2" t="s">
        <v>122</v>
      </c>
      <c r="D40" t="s">
        <v>41</v>
      </c>
      <c r="E40" t="s">
        <v>101</v>
      </c>
      <c r="F40" t="s">
        <v>122</v>
      </c>
    </row>
    <row r="41" spans="1:6">
      <c r="A41" s="2" t="s">
        <v>96</v>
      </c>
      <c r="B41" t="s">
        <v>117</v>
      </c>
      <c r="C41" s="2" t="s">
        <v>123</v>
      </c>
      <c r="D41" t="s">
        <v>41</v>
      </c>
      <c r="E41" t="s">
        <v>101</v>
      </c>
      <c r="F41" t="s">
        <v>123</v>
      </c>
    </row>
    <row r="42" spans="1:6">
      <c r="A42" s="2" t="s">
        <v>96</v>
      </c>
      <c r="B42" t="s">
        <v>124</v>
      </c>
      <c r="C42" s="2" t="s">
        <v>124</v>
      </c>
      <c r="D42" t="s">
        <v>41</v>
      </c>
      <c r="E42" t="s">
        <v>101</v>
      </c>
      <c r="F42" t="s">
        <v>124</v>
      </c>
    </row>
    <row r="43" spans="1:6">
      <c r="A43" s="2" t="s">
        <v>96</v>
      </c>
      <c r="B43" s="2" t="s">
        <v>49</v>
      </c>
      <c r="C43" s="2" t="s">
        <v>140</v>
      </c>
      <c r="D43" t="s">
        <v>41</v>
      </c>
      <c r="E43" t="s">
        <v>101</v>
      </c>
      <c r="F43" t="s">
        <v>113</v>
      </c>
    </row>
    <row r="44" spans="1:6">
      <c r="A44" s="2" t="s">
        <v>96</v>
      </c>
      <c r="B44" s="2" t="s">
        <v>131</v>
      </c>
      <c r="C44" s="2" t="s">
        <v>141</v>
      </c>
      <c r="D44" t="s">
        <v>41</v>
      </c>
      <c r="E44" t="s">
        <v>101</v>
      </c>
      <c r="F44" t="s">
        <v>113</v>
      </c>
    </row>
    <row r="45" spans="1:6">
      <c r="A45" s="2" t="s">
        <v>96</v>
      </c>
      <c r="B45" s="2" t="s">
        <v>132</v>
      </c>
      <c r="C45" s="2" t="s">
        <v>136</v>
      </c>
      <c r="D45" t="s">
        <v>41</v>
      </c>
      <c r="E45" t="s">
        <v>101</v>
      </c>
      <c r="F45" t="s">
        <v>136</v>
      </c>
    </row>
    <row r="46" spans="1:6">
      <c r="A46" s="2" t="s">
        <v>96</v>
      </c>
      <c r="B46" s="2" t="s">
        <v>133</v>
      </c>
      <c r="C46" s="2" t="s">
        <v>142</v>
      </c>
      <c r="D46" t="s">
        <v>41</v>
      </c>
      <c r="E46" t="s">
        <v>101</v>
      </c>
      <c r="F46" t="s">
        <v>137</v>
      </c>
    </row>
    <row r="47" spans="1:6">
      <c r="A47" s="2" t="s">
        <v>96</v>
      </c>
      <c r="B47" s="2" t="s">
        <v>134</v>
      </c>
      <c r="C47" s="2" t="s">
        <v>138</v>
      </c>
      <c r="D47" t="s">
        <v>41</v>
      </c>
      <c r="E47" t="s">
        <v>101</v>
      </c>
      <c r="F47" s="2" t="s">
        <v>138</v>
      </c>
    </row>
    <row r="48" spans="1:6">
      <c r="A48" s="2" t="s">
        <v>96</v>
      </c>
      <c r="B48" s="2" t="s">
        <v>135</v>
      </c>
      <c r="C48" s="2" t="s">
        <v>143</v>
      </c>
      <c r="D48" t="s">
        <v>41</v>
      </c>
      <c r="E48" t="s">
        <v>101</v>
      </c>
      <c r="F48" s="2" t="s">
        <v>139</v>
      </c>
    </row>
    <row r="49" spans="1:6">
      <c r="A49" t="s">
        <v>51</v>
      </c>
      <c r="B49" t="s">
        <v>52</v>
      </c>
      <c r="D49" t="s">
        <v>41</v>
      </c>
      <c r="E49" t="s">
        <v>53</v>
      </c>
      <c r="F49" t="s">
        <v>54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A2" sqref="A2:A13"/>
    </sheetView>
  </sheetViews>
  <sheetFormatPr defaultRowHeight="17.399999999999999"/>
  <cols>
    <col min="1" max="1" width="19.19921875" bestFit="1" customWidth="1"/>
    <col min="2" max="2" width="11.19921875" bestFit="1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t="s">
        <v>59</v>
      </c>
    </row>
    <row r="3" spans="1:4">
      <c r="A3" t="s">
        <v>60</v>
      </c>
    </row>
    <row r="4" spans="1:4">
      <c r="A4" t="s">
        <v>61</v>
      </c>
    </row>
    <row r="5" spans="1:4">
      <c r="A5" t="s">
        <v>62</v>
      </c>
    </row>
    <row r="6" spans="1:4">
      <c r="A6" t="s">
        <v>63</v>
      </c>
    </row>
    <row r="7" spans="1:4">
      <c r="A7" t="s">
        <v>64</v>
      </c>
    </row>
    <row r="8" spans="1:4">
      <c r="A8" t="s">
        <v>65</v>
      </c>
    </row>
    <row r="9" spans="1:4">
      <c r="A9" t="s">
        <v>66</v>
      </c>
    </row>
    <row r="10" spans="1:4">
      <c r="A10" t="s">
        <v>67</v>
      </c>
    </row>
    <row r="11" spans="1:4">
      <c r="A11" t="s">
        <v>68</v>
      </c>
    </row>
    <row r="12" spans="1:4">
      <c r="A12" t="s">
        <v>69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D21" sqref="D21"/>
    </sheetView>
  </sheetViews>
  <sheetFormatPr defaultRowHeight="17.399999999999999"/>
  <cols>
    <col min="1" max="1" width="19.19921875" bestFit="1" customWidth="1"/>
    <col min="3" max="3" width="10.5" bestFit="1" customWidth="1"/>
  </cols>
  <sheetData>
    <row r="1" spans="1:5">
      <c r="A1" s="1" t="s">
        <v>70</v>
      </c>
      <c r="B1" s="1" t="s">
        <v>71</v>
      </c>
      <c r="C1" s="1" t="s">
        <v>72</v>
      </c>
      <c r="D1" s="1" t="s">
        <v>73</v>
      </c>
      <c r="E1" s="1" t="s">
        <v>3</v>
      </c>
    </row>
    <row r="2" spans="1:5">
      <c r="A2" t="s">
        <v>74</v>
      </c>
      <c r="B2" t="s">
        <v>75</v>
      </c>
      <c r="C2">
        <v>1500000</v>
      </c>
      <c r="D2">
        <v>5</v>
      </c>
      <c r="E2" t="s">
        <v>76</v>
      </c>
    </row>
    <row r="3" spans="1:5">
      <c r="A3" t="s">
        <v>77</v>
      </c>
      <c r="B3" t="s">
        <v>78</v>
      </c>
      <c r="C3">
        <v>214500000</v>
      </c>
      <c r="D3">
        <v>5</v>
      </c>
      <c r="E3" t="s">
        <v>19</v>
      </c>
    </row>
    <row r="4" spans="1:5">
      <c r="A4" t="s">
        <v>79</v>
      </c>
      <c r="B4" t="s">
        <v>78</v>
      </c>
      <c r="C4">
        <v>3871040</v>
      </c>
      <c r="D4">
        <v>5</v>
      </c>
      <c r="E4" t="s">
        <v>80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"/>
  <sheetViews>
    <sheetView tabSelected="1" workbookViewId="0">
      <selection activeCell="D9" sqref="D9"/>
    </sheetView>
  </sheetViews>
  <sheetFormatPr defaultRowHeight="17.399999999999999"/>
  <cols>
    <col min="1" max="1" width="12.59765625" bestFit="1" customWidth="1"/>
    <col min="2" max="2" width="12.59765625" customWidth="1"/>
    <col min="3" max="3" width="21.3984375" bestFit="1" customWidth="1"/>
    <col min="4" max="4" width="24.19921875" bestFit="1" customWidth="1"/>
    <col min="5" max="5" width="24.19921875" customWidth="1"/>
    <col min="6" max="6" width="13" style="4" bestFit="1" customWidth="1"/>
  </cols>
  <sheetData>
    <row r="1" spans="1:9">
      <c r="A1" s="1" t="s">
        <v>144</v>
      </c>
      <c r="B1" s="1" t="s">
        <v>145</v>
      </c>
      <c r="C1" s="1" t="s">
        <v>147</v>
      </c>
      <c r="D1" s="1" t="s">
        <v>83</v>
      </c>
      <c r="E1" s="1" t="s">
        <v>156</v>
      </c>
      <c r="F1" s="3" t="s">
        <v>81</v>
      </c>
      <c r="G1" s="1" t="s">
        <v>3</v>
      </c>
    </row>
    <row r="2" spans="1:9">
      <c r="A2" t="s">
        <v>39</v>
      </c>
      <c r="B2" t="s">
        <v>40</v>
      </c>
      <c r="C2" t="s">
        <v>40</v>
      </c>
      <c r="D2" t="s">
        <v>84</v>
      </c>
      <c r="F2" s="4">
        <v>174380000</v>
      </c>
    </row>
    <row r="3" spans="1:9">
      <c r="A3" t="s">
        <v>39</v>
      </c>
      <c r="B3" t="s">
        <v>146</v>
      </c>
      <c r="C3" t="s">
        <v>146</v>
      </c>
      <c r="D3" t="s">
        <v>86</v>
      </c>
      <c r="F3" s="4">
        <v>16278000</v>
      </c>
    </row>
    <row r="4" spans="1:9">
      <c r="A4" t="s">
        <v>39</v>
      </c>
      <c r="B4" t="s">
        <v>85</v>
      </c>
      <c r="C4" t="s">
        <v>85</v>
      </c>
      <c r="D4" t="s">
        <v>87</v>
      </c>
      <c r="E4" t="s">
        <v>152</v>
      </c>
      <c r="F4" s="4">
        <v>5890000</v>
      </c>
    </row>
    <row r="5" spans="1:9">
      <c r="A5" t="s">
        <v>39</v>
      </c>
      <c r="B5" t="s">
        <v>85</v>
      </c>
      <c r="C5" t="s">
        <v>85</v>
      </c>
      <c r="D5" t="s">
        <v>87</v>
      </c>
      <c r="E5" t="s">
        <v>153</v>
      </c>
      <c r="F5" s="4">
        <v>6000000</v>
      </c>
    </row>
    <row r="6" spans="1:9">
      <c r="A6" t="s">
        <v>39</v>
      </c>
      <c r="B6" t="s">
        <v>85</v>
      </c>
      <c r="C6" t="s">
        <v>85</v>
      </c>
      <c r="D6" t="s">
        <v>87</v>
      </c>
      <c r="E6" t="s">
        <v>154</v>
      </c>
      <c r="F6" s="4">
        <v>1760000</v>
      </c>
    </row>
    <row r="7" spans="1:9">
      <c r="A7" t="s">
        <v>39</v>
      </c>
      <c r="B7" t="s">
        <v>85</v>
      </c>
      <c r="C7" t="s">
        <v>85</v>
      </c>
      <c r="D7" t="s">
        <v>87</v>
      </c>
      <c r="E7" t="s">
        <v>155</v>
      </c>
      <c r="F7" s="4">
        <v>1750000</v>
      </c>
    </row>
    <row r="8" spans="1:9">
      <c r="A8" t="s">
        <v>39</v>
      </c>
      <c r="B8" t="s">
        <v>85</v>
      </c>
      <c r="C8" t="s">
        <v>85</v>
      </c>
      <c r="D8" s="2" t="s">
        <v>92</v>
      </c>
      <c r="E8" s="2"/>
      <c r="F8" s="4">
        <v>1000000</v>
      </c>
      <c r="I8" t="s">
        <v>148</v>
      </c>
    </row>
    <row r="9" spans="1:9">
      <c r="A9" t="s">
        <v>39</v>
      </c>
      <c r="B9" t="s">
        <v>85</v>
      </c>
      <c r="C9" t="s">
        <v>85</v>
      </c>
      <c r="D9" s="2" t="s">
        <v>93</v>
      </c>
      <c r="E9" s="2"/>
      <c r="F9" s="4">
        <v>560000</v>
      </c>
      <c r="I9" t="s">
        <v>149</v>
      </c>
    </row>
    <row r="10" spans="1:9">
      <c r="A10" t="s">
        <v>39</v>
      </c>
      <c r="B10" t="s">
        <v>85</v>
      </c>
      <c r="C10" t="s">
        <v>85</v>
      </c>
      <c r="D10" s="2" t="s">
        <v>94</v>
      </c>
      <c r="E10" s="2"/>
      <c r="F10" s="4">
        <v>9500000</v>
      </c>
      <c r="I10" t="s">
        <v>150</v>
      </c>
    </row>
    <row r="11" spans="1:9">
      <c r="A11" t="s">
        <v>39</v>
      </c>
      <c r="B11" t="s">
        <v>85</v>
      </c>
      <c r="C11" t="s">
        <v>85</v>
      </c>
      <c r="D11" s="2" t="s">
        <v>95</v>
      </c>
      <c r="E11" s="2"/>
      <c r="F11" s="4">
        <v>2016000</v>
      </c>
      <c r="I11" t="s">
        <v>151</v>
      </c>
    </row>
    <row r="12" spans="1:9">
      <c r="A12" t="s">
        <v>39</v>
      </c>
      <c r="B12" t="s">
        <v>85</v>
      </c>
      <c r="C12" t="s">
        <v>85</v>
      </c>
      <c r="D12" s="2" t="s">
        <v>96</v>
      </c>
      <c r="E12" s="2"/>
      <c r="F12" s="4">
        <v>1000000</v>
      </c>
    </row>
    <row r="13" spans="1:9">
      <c r="A13" t="s">
        <v>98</v>
      </c>
      <c r="B13" t="s">
        <v>88</v>
      </c>
      <c r="C13" t="s">
        <v>88</v>
      </c>
      <c r="D13" s="2" t="s">
        <v>89</v>
      </c>
      <c r="E13" s="2"/>
      <c r="F13" s="4">
        <v>31800000</v>
      </c>
    </row>
    <row r="14" spans="1:9">
      <c r="A14" t="s">
        <v>98</v>
      </c>
      <c r="B14" s="2" t="s">
        <v>97</v>
      </c>
      <c r="C14" s="2" t="s">
        <v>97</v>
      </c>
      <c r="D14" s="2" t="s">
        <v>102</v>
      </c>
      <c r="E14" s="2"/>
      <c r="F14" s="4">
        <v>18000000</v>
      </c>
    </row>
    <row r="15" spans="1:9">
      <c r="A15" t="s">
        <v>98</v>
      </c>
      <c r="B15" s="2" t="s">
        <v>97</v>
      </c>
      <c r="C15" s="2" t="s">
        <v>97</v>
      </c>
      <c r="D15" s="2" t="s">
        <v>103</v>
      </c>
      <c r="E15" s="2"/>
      <c r="F15" s="4">
        <v>3000000</v>
      </c>
    </row>
    <row r="16" spans="1:9">
      <c r="A16" t="s">
        <v>98</v>
      </c>
      <c r="B16" s="2" t="s">
        <v>97</v>
      </c>
      <c r="C16" s="2" t="s">
        <v>97</v>
      </c>
      <c r="D16" s="2" t="s">
        <v>104</v>
      </c>
      <c r="E16" s="2"/>
      <c r="F16" s="4">
        <v>30000000</v>
      </c>
    </row>
    <row r="17" spans="1:6">
      <c r="A17" t="s">
        <v>98</v>
      </c>
      <c r="B17" s="2" t="s">
        <v>90</v>
      </c>
      <c r="C17" s="2" t="s">
        <v>90</v>
      </c>
      <c r="D17" s="2" t="s">
        <v>105</v>
      </c>
      <c r="E17" s="2"/>
      <c r="F17" s="4">
        <v>18850000</v>
      </c>
    </row>
    <row r="18" spans="1:6">
      <c r="A18" t="s">
        <v>98</v>
      </c>
      <c r="B18" s="2" t="s">
        <v>90</v>
      </c>
      <c r="C18" s="2" t="s">
        <v>90</v>
      </c>
      <c r="D18" s="2" t="s">
        <v>106</v>
      </c>
      <c r="E18" s="2"/>
      <c r="F18" s="4">
        <v>13910000</v>
      </c>
    </row>
    <row r="19" spans="1:6">
      <c r="A19" t="s">
        <v>98</v>
      </c>
      <c r="B19" s="2" t="s">
        <v>90</v>
      </c>
      <c r="C19" s="2" t="s">
        <v>90</v>
      </c>
      <c r="D19" s="2" t="s">
        <v>107</v>
      </c>
      <c r="E19" s="2"/>
      <c r="F19" s="4">
        <v>8840000</v>
      </c>
    </row>
    <row r="20" spans="1:6">
      <c r="A20" t="s">
        <v>98</v>
      </c>
      <c r="B20" s="2" t="s">
        <v>90</v>
      </c>
      <c r="C20" s="2" t="s">
        <v>90</v>
      </c>
      <c r="D20" s="2" t="s">
        <v>108</v>
      </c>
      <c r="E20" s="2"/>
      <c r="F20" s="4">
        <v>5590000</v>
      </c>
    </row>
    <row r="21" spans="1:6">
      <c r="A21" t="s">
        <v>98</v>
      </c>
      <c r="B21" s="2" t="s">
        <v>99</v>
      </c>
      <c r="C21" s="2" t="s">
        <v>99</v>
      </c>
      <c r="D21" s="2" t="s">
        <v>109</v>
      </c>
      <c r="E21" s="2"/>
      <c r="F21" s="4">
        <v>90000000</v>
      </c>
    </row>
    <row r="22" spans="1:6">
      <c r="A22" t="s">
        <v>98</v>
      </c>
      <c r="B22" s="2" t="s">
        <v>99</v>
      </c>
      <c r="C22" s="2" t="s">
        <v>99</v>
      </c>
      <c r="D22" s="2" t="s">
        <v>110</v>
      </c>
      <c r="E22" s="2"/>
      <c r="F22" s="4">
        <v>10000000</v>
      </c>
    </row>
    <row r="23" spans="1:6">
      <c r="A23" t="s">
        <v>98</v>
      </c>
      <c r="B23" s="2" t="s">
        <v>99</v>
      </c>
      <c r="C23" s="2" t="s">
        <v>99</v>
      </c>
      <c r="D23" s="2" t="s">
        <v>111</v>
      </c>
      <c r="E23" s="2"/>
      <c r="F23" s="4">
        <v>10000000</v>
      </c>
    </row>
    <row r="24" spans="1:6">
      <c r="A24" t="s">
        <v>98</v>
      </c>
      <c r="B24" t="s">
        <v>46</v>
      </c>
      <c r="C24" t="s">
        <v>46</v>
      </c>
      <c r="D24" t="s">
        <v>112</v>
      </c>
      <c r="F24" s="4">
        <v>3300000</v>
      </c>
    </row>
    <row r="25" spans="1:6">
      <c r="A25" t="s">
        <v>98</v>
      </c>
      <c r="B25" t="s">
        <v>48</v>
      </c>
      <c r="C25" t="s">
        <v>48</v>
      </c>
      <c r="D25" t="s">
        <v>115</v>
      </c>
      <c r="F25" s="4">
        <v>2040000</v>
      </c>
    </row>
    <row r="26" spans="1:6">
      <c r="A26" t="s">
        <v>98</v>
      </c>
      <c r="B26" s="2" t="s">
        <v>114</v>
      </c>
      <c r="C26" s="2" t="s">
        <v>114</v>
      </c>
      <c r="D26" s="2" t="s">
        <v>116</v>
      </c>
      <c r="E26" s="2"/>
      <c r="F26" s="4">
        <v>240000</v>
      </c>
    </row>
    <row r="27" spans="1:6">
      <c r="A27" t="s">
        <v>98</v>
      </c>
      <c r="B27" t="s">
        <v>117</v>
      </c>
      <c r="C27" t="s">
        <v>117</v>
      </c>
      <c r="D27" s="2" t="s">
        <v>125</v>
      </c>
      <c r="E27" s="2"/>
      <c r="F27" s="4">
        <v>1200000</v>
      </c>
    </row>
    <row r="28" spans="1:6">
      <c r="A28" t="s">
        <v>98</v>
      </c>
      <c r="B28" t="s">
        <v>117</v>
      </c>
      <c r="C28" t="s">
        <v>117</v>
      </c>
      <c r="D28" s="2" t="s">
        <v>121</v>
      </c>
      <c r="E28" s="2"/>
      <c r="F28" s="4">
        <v>1000000</v>
      </c>
    </row>
    <row r="29" spans="1:6">
      <c r="A29" t="s">
        <v>98</v>
      </c>
      <c r="B29" t="s">
        <v>117</v>
      </c>
      <c r="C29" t="s">
        <v>117</v>
      </c>
      <c r="D29" s="2" t="s">
        <v>122</v>
      </c>
      <c r="E29" s="2"/>
      <c r="F29" s="4">
        <v>7800000</v>
      </c>
    </row>
    <row r="30" spans="1:6">
      <c r="A30" t="s">
        <v>98</v>
      </c>
      <c r="B30" t="s">
        <v>117</v>
      </c>
      <c r="C30" t="s">
        <v>117</v>
      </c>
      <c r="D30" s="2" t="s">
        <v>123</v>
      </c>
      <c r="E30" s="2"/>
      <c r="F30" s="4">
        <v>1400000</v>
      </c>
    </row>
    <row r="31" spans="1:6">
      <c r="A31" t="s">
        <v>98</v>
      </c>
      <c r="B31" t="s">
        <v>124</v>
      </c>
      <c r="C31" t="s">
        <v>124</v>
      </c>
      <c r="D31" s="2" t="s">
        <v>124</v>
      </c>
      <c r="E31" s="2"/>
      <c r="F31" s="4">
        <v>7200000</v>
      </c>
    </row>
    <row r="32" spans="1:6">
      <c r="A32" t="s">
        <v>98</v>
      </c>
      <c r="B32" s="2" t="s">
        <v>49</v>
      </c>
      <c r="C32" s="2" t="s">
        <v>49</v>
      </c>
      <c r="D32" s="2" t="s">
        <v>140</v>
      </c>
      <c r="E32" s="2"/>
      <c r="F32" s="4">
        <v>3820000</v>
      </c>
    </row>
    <row r="33" spans="1:6">
      <c r="A33" t="s">
        <v>98</v>
      </c>
      <c r="B33" s="2" t="s">
        <v>96</v>
      </c>
      <c r="C33" s="2" t="s">
        <v>131</v>
      </c>
      <c r="D33" s="2" t="s">
        <v>141</v>
      </c>
      <c r="E33" s="2"/>
      <c r="F33" s="4">
        <v>960000</v>
      </c>
    </row>
    <row r="34" spans="1:6">
      <c r="A34" t="s">
        <v>98</v>
      </c>
      <c r="B34" s="2" t="s">
        <v>96</v>
      </c>
      <c r="C34" s="2" t="s">
        <v>132</v>
      </c>
      <c r="D34" s="2" t="s">
        <v>136</v>
      </c>
      <c r="E34" s="2"/>
      <c r="F34" s="4">
        <v>400000</v>
      </c>
    </row>
    <row r="35" spans="1:6">
      <c r="A35" t="s">
        <v>98</v>
      </c>
      <c r="B35" s="2" t="s">
        <v>96</v>
      </c>
      <c r="C35" s="2" t="s">
        <v>133</v>
      </c>
      <c r="D35" s="2" t="s">
        <v>142</v>
      </c>
      <c r="E35" s="2"/>
      <c r="F35" s="4">
        <v>2600000</v>
      </c>
    </row>
    <row r="36" spans="1:6">
      <c r="A36" t="s">
        <v>98</v>
      </c>
      <c r="B36" s="2" t="s">
        <v>96</v>
      </c>
      <c r="C36" s="2" t="s">
        <v>134</v>
      </c>
      <c r="D36" s="2" t="s">
        <v>138</v>
      </c>
      <c r="E36" s="2"/>
      <c r="F36" s="4">
        <v>3200000</v>
      </c>
    </row>
    <row r="37" spans="1:6">
      <c r="A37" t="s">
        <v>98</v>
      </c>
      <c r="B37" s="2" t="s">
        <v>135</v>
      </c>
      <c r="C37" s="2" t="s">
        <v>135</v>
      </c>
      <c r="D37" s="2" t="s">
        <v>143</v>
      </c>
      <c r="E37" s="2"/>
      <c r="F37" s="4">
        <v>30000000</v>
      </c>
    </row>
    <row r="38" spans="1:6">
      <c r="F38" s="4">
        <f>SUM(F2:F37)</f>
        <v>525284000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1.계정과목_마스터</vt:lpstr>
      <vt:lpstr>2.회원사_목록</vt:lpstr>
      <vt:lpstr>3.고정자산_대장</vt:lpstr>
      <vt:lpstr>4.2025_예산안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성원 박</cp:lastModifiedBy>
  <dcterms:created xsi:type="dcterms:W3CDTF">2025-12-31T03:14:15Z</dcterms:created>
  <dcterms:modified xsi:type="dcterms:W3CDTF">2026-01-01T05:55:42Z</dcterms:modified>
</cp:coreProperties>
</file>